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00b4ebf5d55289f/Python/Bioinformatics/Bioinformatics VII - Big Data in Biology Capstone/3 Protein Structure Analysis/"/>
    </mc:Choice>
  </mc:AlternateContent>
  <xr:revisionPtr revIDLastSave="59" documentId="8_{61D05BD9-C8B8-47E1-A428-F91ADCF2007A}" xr6:coauthVersionLast="47" xr6:coauthVersionMax="47" xr10:uidLastSave="{217F3E5F-4E3F-4D67-AAEE-5B8C0F47E52E}"/>
  <bookViews>
    <workbookView xWindow="11652" yWindow="0" windowWidth="11484" windowHeight="11784" xr2:uid="{17905899-9F6A-4B1B-8F4C-EEB6B345EB82}"/>
  </bookViews>
  <sheets>
    <sheet name="Qres Calculation" sheetId="1" r:id="rId1"/>
  </sheets>
  <calcPr calcId="0"/>
</workbook>
</file>

<file path=xl/calcChain.xml><?xml version="1.0" encoding="utf-8"?>
<calcChain xmlns="http://schemas.openxmlformats.org/spreadsheetml/2006/main">
  <c r="I7" i="1" l="1"/>
  <c r="I10" i="1"/>
  <c r="I2" i="1"/>
  <c r="H3" i="1"/>
  <c r="H2" i="1"/>
  <c r="I3" i="1"/>
  <c r="I4" i="1"/>
  <c r="I5" i="1"/>
  <c r="I6" i="1"/>
  <c r="I8" i="1"/>
  <c r="J2" i="1"/>
  <c r="G4" i="1"/>
  <c r="H4" i="1"/>
  <c r="F5" i="1"/>
  <c r="H5" i="1"/>
  <c r="F2" i="1"/>
  <c r="F3" i="1"/>
  <c r="F4" i="1"/>
  <c r="F6" i="1"/>
  <c r="F7" i="1"/>
  <c r="F8" i="1"/>
  <c r="G2" i="1"/>
  <c r="G3" i="1"/>
  <c r="J3" i="1"/>
  <c r="G5" i="1"/>
  <c r="G6" i="1"/>
  <c r="H6" i="1"/>
  <c r="G7" i="1"/>
  <c r="H7" i="1"/>
  <c r="G8" i="1"/>
  <c r="H8" i="1"/>
</calcChain>
</file>

<file path=xl/sharedStrings.xml><?xml version="1.0" encoding="utf-8"?>
<sst xmlns="http://schemas.openxmlformats.org/spreadsheetml/2006/main" count="16" uniqueCount="13">
  <si>
    <t>j</t>
  </si>
  <si>
    <t>s_x</t>
  </si>
  <si>
    <t>s_y</t>
  </si>
  <si>
    <t>t_x</t>
  </si>
  <si>
    <t>t_y</t>
  </si>
  <si>
    <t>d_s4_sj</t>
  </si>
  <si>
    <t>d_t4_tj</t>
  </si>
  <si>
    <t>var</t>
  </si>
  <si>
    <t>include</t>
  </si>
  <si>
    <t>N</t>
  </si>
  <si>
    <t>Y</t>
  </si>
  <si>
    <t>Q(ij) res</t>
  </si>
  <si>
    <t>Q(i) res 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</si>
</sst>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6" fontId="0" fillId="0" borderId="0" xfId="0" applyNumberFormat="1"/>
    <xf numFmtId="0" fontId="16" fillId="0" borderId="0" xfId="0" applyFon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B585C-71BC-44EE-9378-755CEC05C6C7}">
  <dimension ref="A1:J11"/>
  <sheetViews>
    <sheetView tabSelected="1" workbookViewId="0">
      <selection activeCell="G14" sqref="G14"/>
    </sheetView>
  </sheetViews>
  <sheetFormatPr defaultRowHeight="14.4" x14ac:dyDescent="0.3"/>
  <sheetData>
    <row r="1" spans="1:10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11</v>
      </c>
      <c r="J1" s="2" t="s">
        <v>8</v>
      </c>
    </row>
    <row r="2" spans="1:10" x14ac:dyDescent="0.3">
      <c r="A2">
        <v>1</v>
      </c>
      <c r="B2">
        <v>1</v>
      </c>
      <c r="C2">
        <v>2</v>
      </c>
      <c r="D2">
        <v>1</v>
      </c>
      <c r="E2">
        <v>3</v>
      </c>
      <c r="F2" s="1">
        <f>SQRT(($B$4-B2)^2+($C$4-C2)^2)</f>
        <v>3.6055512754639891</v>
      </c>
      <c r="G2" s="1">
        <f t="shared" ref="G2:G8" si="0">SQRT(($D$4-D2)^2+($E$4-E2)^2)</f>
        <v>3.6055512754639891</v>
      </c>
      <c r="H2" s="1">
        <f>ABS(4-A2)^0.15</f>
        <v>1.1791476456813665</v>
      </c>
      <c r="I2" s="1">
        <f>IF(J2="Y", EXP(-((F2-G2)^2) / (2*H2)), "")</f>
        <v>1</v>
      </c>
      <c r="J2" t="str">
        <f>IF(OR(A2=3,A2=4,A2=5),"N","Y")</f>
        <v>Y</v>
      </c>
    </row>
    <row r="3" spans="1:10" x14ac:dyDescent="0.3">
      <c r="A3">
        <v>2</v>
      </c>
      <c r="B3">
        <v>2</v>
      </c>
      <c r="C3">
        <v>2</v>
      </c>
      <c r="D3">
        <v>2</v>
      </c>
      <c r="E3">
        <v>2</v>
      </c>
      <c r="F3" s="1">
        <f>SQRT(($B$4-B3)^2+($C$4-C3)^2)</f>
        <v>3.1622776601683795</v>
      </c>
      <c r="G3" s="1">
        <f t="shared" si="0"/>
        <v>3.6055512754639891</v>
      </c>
      <c r="H3" s="1">
        <f>ABS(4-A3)^0.15</f>
        <v>1.1095694720678451</v>
      </c>
      <c r="I3" s="1">
        <f t="shared" ref="I3:I8" si="1">IF(J3="Y", EXP(-((F3-G3)^2) / (2*H3)), "")</f>
        <v>0.91526281380773356</v>
      </c>
      <c r="J3" t="str">
        <f>IF(OR(A3=3,A3=4,A3=5),"N","Y")</f>
        <v>Y</v>
      </c>
    </row>
    <row r="4" spans="1:10" x14ac:dyDescent="0.3">
      <c r="A4">
        <v>3</v>
      </c>
      <c r="B4">
        <v>3</v>
      </c>
      <c r="C4">
        <v>5</v>
      </c>
      <c r="D4">
        <v>4</v>
      </c>
      <c r="E4">
        <v>5</v>
      </c>
      <c r="F4" s="1">
        <f>SQRT(($B$4-B4)^2+($C$4-C4)^2)</f>
        <v>0</v>
      </c>
      <c r="G4" s="1">
        <f>SQRT(($D$4-D4)^2+($E$4-E4)^2)</f>
        <v>0</v>
      </c>
      <c r="H4" s="1">
        <f t="shared" ref="H2:H8" si="2">ABS(4-A4)^0.15</f>
        <v>1</v>
      </c>
      <c r="I4" s="1" t="str">
        <f t="shared" si="1"/>
        <v/>
      </c>
      <c r="J4" t="s">
        <v>9</v>
      </c>
    </row>
    <row r="5" spans="1:10" x14ac:dyDescent="0.3">
      <c r="A5">
        <v>4</v>
      </c>
      <c r="B5">
        <v>5</v>
      </c>
      <c r="C5">
        <v>3</v>
      </c>
      <c r="D5">
        <v>4</v>
      </c>
      <c r="E5">
        <v>1</v>
      </c>
      <c r="F5" s="1">
        <f>SQRT(($B$4-B5)^2+($C$4-C5)^2)</f>
        <v>2.8284271247461903</v>
      </c>
      <c r="G5" s="1">
        <f t="shared" si="0"/>
        <v>4</v>
      </c>
      <c r="H5" s="1">
        <f>ABS(4-A5)^0.15</f>
        <v>0</v>
      </c>
      <c r="I5" s="1" t="str">
        <f t="shared" si="1"/>
        <v/>
      </c>
      <c r="J5" t="s">
        <v>9</v>
      </c>
    </row>
    <row r="6" spans="1:10" x14ac:dyDescent="0.3">
      <c r="A6">
        <v>5</v>
      </c>
      <c r="B6">
        <v>5</v>
      </c>
      <c r="C6">
        <v>4</v>
      </c>
      <c r="D6">
        <v>5</v>
      </c>
      <c r="E6">
        <v>3</v>
      </c>
      <c r="F6" s="1">
        <f>SQRT(($B$4-B6)^2+($C$4-C6)^2)</f>
        <v>2.2360679774997898</v>
      </c>
      <c r="G6" s="1">
        <f t="shared" si="0"/>
        <v>2.2360679774997898</v>
      </c>
      <c r="H6" s="1">
        <f t="shared" si="2"/>
        <v>1</v>
      </c>
      <c r="I6" s="1" t="str">
        <f t="shared" si="1"/>
        <v/>
      </c>
      <c r="J6" t="s">
        <v>9</v>
      </c>
    </row>
    <row r="7" spans="1:10" x14ac:dyDescent="0.3">
      <c r="A7">
        <v>6</v>
      </c>
      <c r="B7">
        <v>7</v>
      </c>
      <c r="C7">
        <v>2</v>
      </c>
      <c r="D7">
        <v>6</v>
      </c>
      <c r="E7">
        <v>3</v>
      </c>
      <c r="F7" s="1">
        <f t="shared" ref="F7" si="3">SQRT(($B$4-B7)^2+($C$4-C7)^2)</f>
        <v>5</v>
      </c>
      <c r="G7" s="1">
        <f t="shared" si="0"/>
        <v>2.8284271247461903</v>
      </c>
      <c r="H7" s="1">
        <f t="shared" si="2"/>
        <v>1.1095694720678451</v>
      </c>
      <c r="I7" s="1">
        <f>IF(J7="Y", EXP(-((F7-G7)^2) / (2*H7)), "")</f>
        <v>0.11942982006877552</v>
      </c>
      <c r="J7" t="s">
        <v>10</v>
      </c>
    </row>
    <row r="8" spans="1:10" x14ac:dyDescent="0.3">
      <c r="A8">
        <v>7</v>
      </c>
      <c r="B8">
        <v>7</v>
      </c>
      <c r="C8">
        <v>5</v>
      </c>
      <c r="D8">
        <v>7</v>
      </c>
      <c r="E8">
        <v>4</v>
      </c>
      <c r="F8" s="1">
        <f>SQRT(($B$4-B8)^2+($C$4-C8)^2)</f>
        <v>4</v>
      </c>
      <c r="G8" s="1">
        <f t="shared" si="0"/>
        <v>3.1622776601683795</v>
      </c>
      <c r="H8" s="1">
        <f t="shared" si="2"/>
        <v>1.1791476456813665</v>
      </c>
      <c r="I8" s="1">
        <f t="shared" si="1"/>
        <v>0.74261405165260241</v>
      </c>
      <c r="J8" t="s">
        <v>10</v>
      </c>
    </row>
    <row r="10" spans="1:10" x14ac:dyDescent="0.3">
      <c r="H10" t="s">
        <v>12</v>
      </c>
      <c r="I10" s="1">
        <f>SUMIFS(I2:I8, J2:J8, "Y") / COUNTIF(J2:J8, "Y")</f>
        <v>0.69432667138227777</v>
      </c>
    </row>
    <row r="11" spans="1:10" x14ac:dyDescent="0.3">
      <c r="I11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Qres Calculation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Olivia Rippee</cp:lastModifiedBy>
  <dcterms:created xsi:type="dcterms:W3CDTF">2025-09-08T20:24:53Z</dcterms:created>
  <dcterms:modified xsi:type="dcterms:W3CDTF">2025-09-08T20:35:22Z</dcterms:modified>
</cp:coreProperties>
</file>